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&amp;L" sheetId="2" state="visible" r:id="rId4"/>
    <sheet name="Wpłaty założyciel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<sst xmlns="http://schemas.openxmlformats.org/spreadsheetml/2006/main" count="107" uniqueCount="100">
  <si>
    <t xml:space="preserve">Plan Finansowy Fjord Anglers — Inputs (wpisuj tutaj)</t>
  </si>
  <si>
    <t xml:space="preserve">Żółte pola = edytujesz. Wszystko inne liczone automatycznie w zakładce P&amp;L.</t>
  </si>
  <si>
    <t xml:space="preserve">1. Unit economics (na podstawie Notion)</t>
  </si>
  <si>
    <t xml:space="preserve">Średnia wartość transakcji</t>
  </si>
  <si>
    <t xml:space="preserve">Notion: ~€500 × 4.25 zł</t>
  </si>
  <si>
    <t xml:space="preserve">Prowizja na trip (nasz take rate)</t>
  </si>
  <si>
    <t xml:space="preserve">Notion: ~€100</t>
  </si>
  <si>
    <t xml:space="preserve">Docelowy CPA (koszt akwizycji)</t>
  </si>
  <si>
    <t xml:space="preserve">Notion: ~€25</t>
  </si>
  <si>
    <t xml:space="preserve">Wskaźnik konwersji zapytanie → rezerwacja</t>
  </si>
  <si>
    <t xml:space="preserve">30% standard branżowy</t>
  </si>
  <si>
    <t xml:space="preserve">2. ZUS — stawki miesięczne (zł)</t>
  </si>
  <si>
    <t xml:space="preserve">Ulga na start (mies. 1–6)</t>
  </si>
  <si>
    <t xml:space="preserve">Tylko zdrowotna</t>
  </si>
  <si>
    <t xml:space="preserve">Mały ZUS (mies. 7–30)</t>
  </si>
  <si>
    <t xml:space="preserve">Społeczne + zdrowotne</t>
  </si>
  <si>
    <t xml:space="preserve">Pełny ZUS (mies. 31+)</t>
  </si>
  <si>
    <t xml:space="preserve">Stawki 2026</t>
  </si>
  <si>
    <t xml:space="preserve">3. Stałe koszty miesięczne (zł)</t>
  </si>
  <si>
    <t xml:space="preserve">Narzędzia — faza startu (mies. 1–3)</t>
  </si>
  <si>
    <t xml:space="preserve">Hosting, DB, maile — free tiers</t>
  </si>
  <si>
    <t xml:space="preserve">Narzędzia — faza rozpędu (mies. 4–6)</t>
  </si>
  <si>
    <t xml:space="preserve">Narzędzia — faza skali (mies. 7–12)</t>
  </si>
  <si>
    <t xml:space="preserve">Księgowość</t>
  </si>
  <si>
    <t xml:space="preserve">Biuro rachunkowe</t>
  </si>
  <si>
    <t xml:space="preserve">Opłaty bankowe</t>
  </si>
  <si>
    <t xml:space="preserve">Alior firmowe</t>
  </si>
  <si>
    <t xml:space="preserve">Bufor / różne</t>
  </si>
  <si>
    <t xml:space="preserve">4. Budżet marketingowy (zł/mies.)</t>
  </si>
  <si>
    <t xml:space="preserve">Start (mies. 1–3)</t>
  </si>
  <si>
    <t xml:space="preserve">Notion: €750</t>
  </si>
  <si>
    <t xml:space="preserve">Rozpęd (mies. 4–6)</t>
  </si>
  <si>
    <t xml:space="preserve">Notion: €1500</t>
  </si>
  <si>
    <t xml:space="preserve">Skala (mies. 7–12)</t>
  </si>
  <si>
    <t xml:space="preserve">Notion: €2500</t>
  </si>
  <si>
    <t xml:space="preserve">5. Udziały założycieli (%)</t>
  </si>
  <si>
    <t xml:space="preserve">Tymon (CEO)</t>
  </si>
  <si>
    <t xml:space="preserve">Krzychu (Head of Fishing)</t>
  </si>
  <si>
    <t xml:space="preserve">Lukas</t>
  </si>
  <si>
    <t xml:space="preserve">6. Prognozowane zapytania/mies. (scenariusz realistyczny)</t>
  </si>
  <si>
    <t xml:space="preserve">Miesiąc 1</t>
  </si>
  <si>
    <t xml:space="preserve">Miesiąc 2</t>
  </si>
  <si>
    <t xml:space="preserve">Miesiąc 3</t>
  </si>
  <si>
    <t xml:space="preserve">Miesiąc 4</t>
  </si>
  <si>
    <t xml:space="preserve">Miesiąc 5</t>
  </si>
  <si>
    <t xml:space="preserve">Miesiąc 6</t>
  </si>
  <si>
    <t xml:space="preserve">Miesiąc 7</t>
  </si>
  <si>
    <t xml:space="preserve">Miesiąc 8</t>
  </si>
  <si>
    <t xml:space="preserve">Miesiąc 9</t>
  </si>
  <si>
    <t xml:space="preserve">Miesiąc 10</t>
  </si>
  <si>
    <t xml:space="preserve">Miesiąc 11</t>
  </si>
  <si>
    <t xml:space="preserve">Miesiąc 12</t>
  </si>
  <si>
    <t xml:space="preserve">7. Gotówka na start (opcjonalnie)</t>
  </si>
  <si>
    <t xml:space="preserve">Łączna gotówka na koncie firmowym (zł)</t>
  </si>
  <si>
    <t xml:space="preserve">Wpisz jak będziesz miał</t>
  </si>
  <si>
    <t xml:space="preserve">P&amp;L miesięczny — liczony z zakładki Inputs</t>
  </si>
  <si>
    <t xml:space="preserve">Wszystko czarne = formuły. Zmień liczbę w Inputs → cały P&amp;L się przeliczy.</t>
  </si>
  <si>
    <t xml:space="preserve">Pozycja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</si>
  <si>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</si>
  <si>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</si>
  <si>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</si>
  <si>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</si>
  <si>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</si>
  <si>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</si>
  <si>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</si>
  <si>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</si>
  <si>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</si>
  <si>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</si>
  <si>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</si>
  <si>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</si>
  <si>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Rok 1</t>
  </si>
  <si>
    <t xml:space="preserve">PRZYCHÓD</t>
  </si>
  <si>
    <t xml:space="preserve">Zapytania / mies.</t>
  </si>
  <si>
    <t xml:space="preserve">Rezerwacje (zapytania × konwersja)</t>
  </si>
  <si>
    <t xml:space="preserve">Przychód (rezerwacje × prowizja)</t>
  </si>
  <si>
    <t xml:space="preserve">KOSZTY</t>
  </si>
  <si>
    <t xml:space="preserve">Narzędzia (hosting, DB, maile)</t>
  </si>
  <si>
    <t xml:space="preserve">Marketing</t>
  </si>
  <si>
    <t xml:space="preserve">ZUS</t>
  </si>
  <si>
    <t xml:space="preserve">KOSZTY RAZEM</t>
  </si>
  <si>
    <t xml:space="preserve">WYNIK</t>
  </si>
  <si>
    <t xml:space="preserve">Wynik netto (przychód − koszty)</t>
  </si>
  <si>
    <t xml:space="preserve">Skumulowany netto</t>
  </si>
  <si>
    <t xml:space="preserve">PRÓG RENTOWNOŚCI / MIES.</t>
  </si>
  <si>
    <t xml:space="preserve">Rezerwacje potrzebne do BE</t>
  </si>
  <si>
    <t xml:space="preserve">Zapytania potrzebne do BE (przy konwersji)</t>
  </si>
  <si>
    <t xml:space="preserve">Wpłaty założycieli — wyrównanie do udziałów</t>
  </si>
  <si>
    <t xml:space="preserve">Oblicza ile każdy założyciel powinien wpłacić do kasy firmy proporcjonalnie do udziałów, żeby pokryć burn z P&amp;L.</t>
  </si>
  <si>
    <t xml:space="preserve">Kwota do pokrycia (zł):</t>
  </si>
  <si>
    <t xml:space="preserve">(domyślnie: skumulowany burn Roku 1 z P&amp;L — możesz wpisać własną kwotę ręcznie w B4)</t>
  </si>
  <si>
    <t xml:space="preserve">Założyciel</t>
  </si>
  <si>
    <t xml:space="preserve">Udział %</t>
  </si>
  <si>
    <t xml:space="preserve">Wpłata do równych udziałów (zł)</t>
  </si>
  <si>
    <t xml:space="preserve">Już wpłacone (zł)</t>
  </si>
  <si>
    <t xml:space="preserve">Do wpłaty jeszcze (zł)</t>
  </si>
  <si>
    <t xml:space="preserve">RAZEM</t>
  </si>
  <si>
    <t xml:space="preserve">Historia wpłat (dodawaj ręcznie)</t>
  </si>
  <si>
    <t xml:space="preserve">Data</t>
  </si>
  <si>
    <t xml:space="preserve">Kwota (zł)</t>
  </si>
  <si>
    <t xml:space="preserve">Cel / opis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</si>
</sst>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zł&quot;;\(#,##0&quot; zł)&quot;;\-"/>
    <numFmt numFmtId="166" formatCode="0.0%"/>
    <numFmt numFmtId="167" formatCode="#,##0;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2F5597"/>
        <bgColor rgb="FF44546A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2125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425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105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v>0.3</v>
      </c>
      <c r="C8" s="6" t="s">
        <v>10</v>
      </c>
    </row>
    <row r="10" customFormat="false" ht="21.75" hidden="false" customHeight="true" outlineLevel="0" collapsed="false">
      <c r="A10" s="3" t="s">
        <v>11</v>
      </c>
      <c r="B10" s="3"/>
      <c r="C10" s="3"/>
      <c r="D10" s="3"/>
    </row>
    <row r="11" customFormat="false" ht="15" hidden="false" customHeight="false" outlineLevel="0" collapsed="false">
      <c r="A11" s="4" t="s">
        <v>12</v>
      </c>
      <c r="B11" s="5" t="n">
        <v>432</v>
      </c>
      <c r="C11" s="6" t="s">
        <v>13</v>
      </c>
    </row>
    <row r="12" customFormat="false" ht="15" hidden="false" customHeight="false" outlineLevel="0" collapsed="false">
      <c r="A12" s="4" t="s">
        <v>14</v>
      </c>
      <c r="B12" s="5" t="n">
        <v>888</v>
      </c>
      <c r="C12" s="6" t="s">
        <v>15</v>
      </c>
    </row>
    <row r="13" customFormat="false" ht="15" hidden="false" customHeight="false" outlineLevel="0" collapsed="false">
      <c r="A13" s="4" t="s">
        <v>16</v>
      </c>
      <c r="B13" s="5" t="n">
        <v>2206</v>
      </c>
      <c r="C13" s="6" t="s">
        <v>17</v>
      </c>
    </row>
    <row r="15" customFormat="false" ht="21.75" hidden="false" customHeight="true" outlineLevel="0" collapsed="false">
      <c r="A15" s="3" t="s">
        <v>18</v>
      </c>
      <c r="B15" s="3"/>
      <c r="C15" s="3"/>
      <c r="D15" s="3"/>
    </row>
    <row r="16" customFormat="false" ht="15" hidden="false" customHeight="false" outlineLevel="0" collapsed="false">
      <c r="A16" s="4" t="s">
        <v>19</v>
      </c>
      <c r="B16" s="5" t="n">
        <v>65</v>
      </c>
      <c r="C16" s="6" t="s">
        <v>20</v>
      </c>
    </row>
    <row r="17" customFormat="false" ht="15" hidden="false" customHeight="false" outlineLevel="0" collapsed="false">
      <c r="A17" s="4" t="s">
        <v>21</v>
      </c>
      <c r="B17" s="5" t="n">
        <v>130</v>
      </c>
    </row>
    <row r="18" customFormat="false" ht="15" hidden="false" customHeight="false" outlineLevel="0" collapsed="false">
      <c r="A18" s="4" t="s">
        <v>22</v>
      </c>
      <c r="B18" s="5" t="n">
        <v>340</v>
      </c>
    </row>
    <row r="19" customFormat="false" ht="15" hidden="false" customHeight="false" outlineLevel="0" collapsed="false">
      <c r="A19" s="4" t="s">
        <v>23</v>
      </c>
      <c r="B19" s="5" t="n">
        <v>425</v>
      </c>
      <c r="C19" s="6" t="s">
        <v>24</v>
      </c>
    </row>
    <row r="20" customFormat="false" ht="15" hidden="false" customHeight="false" outlineLevel="0" collapsed="false">
      <c r="A20" s="4" t="s">
        <v>25</v>
      </c>
      <c r="B20" s="5" t="n">
        <v>45</v>
      </c>
      <c r="C20" s="6" t="s">
        <v>26</v>
      </c>
    </row>
    <row r="21" customFormat="false" ht="15" hidden="false" customHeight="false" outlineLevel="0" collapsed="false">
      <c r="A21" s="4" t="s">
        <v>27</v>
      </c>
      <c r="B21" s="5" t="n">
        <v>210</v>
      </c>
    </row>
    <row r="23" customFormat="false" ht="21.75" hidden="false" customHeight="true" outlineLevel="0" collapsed="false">
      <c r="A23" s="3" t="s">
        <v>28</v>
      </c>
      <c r="B23" s="3"/>
      <c r="C23" s="3"/>
      <c r="D23" s="3"/>
    </row>
    <row r="24" customFormat="false" ht="15" hidden="false" customHeight="false" outlineLevel="0" collapsed="false">
      <c r="A24" s="4" t="s">
        <v>29</v>
      </c>
      <c r="B24" s="5" t="n">
        <v>3190</v>
      </c>
      <c r="C24" s="6" t="s">
        <v>30</v>
      </c>
    </row>
    <row r="25" customFormat="false" ht="15" hidden="false" customHeight="false" outlineLevel="0" collapsed="false">
      <c r="A25" s="4" t="s">
        <v>31</v>
      </c>
      <c r="B25" s="5" t="n">
        <v>6375</v>
      </c>
      <c r="C25" s="6" t="s">
        <v>32</v>
      </c>
    </row>
    <row r="26" customFormat="false" ht="15" hidden="false" customHeight="false" outlineLevel="0" collapsed="false">
      <c r="A26" s="4" t="s">
        <v>33</v>
      </c>
      <c r="B26" s="5" t="n">
        <v>10625</v>
      </c>
      <c r="C26" s="6" t="s">
        <v>34</v>
      </c>
    </row>
    <row r="28" customFormat="false" ht="21.75" hidden="false" customHeight="true" outlineLevel="0" collapsed="false">
      <c r="A28" s="3" t="s">
        <v>35</v>
      </c>
      <c r="B28" s="3"/>
      <c r="C28" s="3"/>
      <c r="D28" s="3"/>
    </row>
    <row r="29" customFormat="false" ht="15" hidden="false" customHeight="false" outlineLevel="0" collapsed="false">
      <c r="A29" s="4" t="s">
        <v>36</v>
      </c>
      <c r="B29" s="7" t="n">
        <v>0.7</v>
      </c>
    </row>
    <row r="30" customFormat="false" ht="15" hidden="false" customHeight="false" outlineLevel="0" collapsed="false">
      <c r="A30" s="4" t="s">
        <v>37</v>
      </c>
      <c r="B30" s="7" t="n">
        <v>0.2</v>
      </c>
    </row>
    <row r="31" customFormat="false" ht="15" hidden="false" customHeight="false" outlineLevel="0" collapsed="false">
      <c r="A31" s="4" t="s">
        <v>38</v>
      </c>
      <c r="B31" s="7" t="n">
        <v>0.1</v>
      </c>
    </row>
    <row r="33" customFormat="false" ht="21.75" hidden="false" customHeight="true" outlineLevel="0" collapsed="false">
      <c r="A33" s="3" t="s">
        <v>39</v>
      </c>
      <c r="B33" s="3"/>
      <c r="C33" s="3"/>
      <c r="D33" s="3"/>
    </row>
    <row r="34" customFormat="false" ht="15" hidden="false" customHeight="false" outlineLevel="0" collapsed="false">
      <c r="A34" s="4" t="s">
        <v>40</v>
      </c>
      <c r="B34" s="8" t="n">
        <v>4</v>
      </c>
    </row>
    <row r="35" customFormat="false" ht="15" hidden="false" customHeight="false" outlineLevel="0" collapsed="false">
      <c r="A35" s="4" t="s">
        <v>41</v>
      </c>
      <c r="B35" s="8" t="n">
        <v>7</v>
      </c>
    </row>
    <row r="36" customFormat="false" ht="15" hidden="false" customHeight="false" outlineLevel="0" collapsed="false">
      <c r="A36" s="4" t="s">
        <v>42</v>
      </c>
      <c r="B36" s="8" t="n">
        <v>10</v>
      </c>
    </row>
    <row r="37" customFormat="false" ht="15" hidden="false" customHeight="false" outlineLevel="0" collapsed="false">
      <c r="A37" s="4" t="s">
        <v>43</v>
      </c>
      <c r="B37" s="8" t="n">
        <v>17</v>
      </c>
    </row>
    <row r="38" customFormat="false" ht="15" hidden="false" customHeight="false" outlineLevel="0" collapsed="false">
      <c r="A38" s="4" t="s">
        <v>44</v>
      </c>
      <c r="B38" s="8" t="n">
        <v>23</v>
      </c>
    </row>
    <row r="39" customFormat="false" ht="15" hidden="false" customHeight="false" outlineLevel="0" collapsed="false">
      <c r="A39" s="4" t="s">
        <v>45</v>
      </c>
      <c r="B39" s="8" t="n">
        <v>30</v>
      </c>
    </row>
    <row r="40" customFormat="false" ht="15" hidden="false" customHeight="false" outlineLevel="0" collapsed="false">
      <c r="A40" s="4" t="s">
        <v>46</v>
      </c>
      <c r="B40" s="8" t="n">
        <v>43</v>
      </c>
    </row>
    <row r="41" customFormat="false" ht="15" hidden="false" customHeight="false" outlineLevel="0" collapsed="false">
      <c r="A41" s="4" t="s">
        <v>47</v>
      </c>
      <c r="B41" s="8" t="n">
        <v>53</v>
      </c>
    </row>
    <row r="42" customFormat="false" ht="15" hidden="false" customHeight="false" outlineLevel="0" collapsed="false">
      <c r="A42" s="4" t="s">
        <v>48</v>
      </c>
      <c r="B42" s="8" t="n">
        <v>63</v>
      </c>
    </row>
    <row r="43" customFormat="false" ht="15" hidden="false" customHeight="false" outlineLevel="0" collapsed="false">
      <c r="A43" s="4" t="s">
        <v>49</v>
      </c>
      <c r="B43" s="8" t="n">
        <v>70</v>
      </c>
    </row>
    <row r="44" customFormat="false" ht="15" hidden="false" customHeight="false" outlineLevel="0" collapsed="false">
      <c r="A44" s="4" t="s">
        <v>50</v>
      </c>
      <c r="B44" s="8" t="n">
        <v>77</v>
      </c>
    </row>
    <row r="45" customFormat="false" ht="15" hidden="false" customHeight="false" outlineLevel="0" collapsed="false">
      <c r="A45" s="4" t="s">
        <v>51</v>
      </c>
      <c r="B45" s="8" t="n">
        <v>80</v>
      </c>
    </row>
    <row r="47" customFormat="false" ht="21.75" hidden="false" customHeight="true" outlineLevel="0" collapsed="false">
      <c r="A47" s="3" t="s">
        <v>52</v>
      </c>
      <c r="B47" s="3"/>
      <c r="C47" s="3"/>
      <c r="D47" s="3"/>
    </row>
    <row r="48" customFormat="false" ht="15" hidden="false" customHeight="false" outlineLevel="0" collapsed="false">
      <c r="A48" s="4" t="s">
        <v>53</v>
      </c>
      <c r="B48" s="5" t="n">
        <v>0</v>
      </c>
      <c r="C48" s="6" t="s">
        <v>54</v>
      </c>
    </row>
  </sheetData>
  <mergeCells count="9">
    <mergeCell ref="A1:D1"/>
    <mergeCell ref="A2:D2"/>
    <mergeCell ref="A4:D4"/>
    <mergeCell ref="A10:D10"/>
    <mergeCell ref="A15:D15"/>
    <mergeCell ref="A23:D23"/>
    <mergeCell ref="A28:D28"/>
    <mergeCell ref="A33:D33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9.5" hidden="false" customHeight="true" outlineLevel="0" collapsed="false">
      <c r="A4" s="9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</row>
    <row r="5" customFormat="false" ht="15" hidden="false" customHeight="false" outlineLevel="0" collapsed="false">
      <c r="A5" s="11" t="s">
        <v>71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false" outlineLevel="0" collapsed="false">
      <c r="A6" s="12" t="s">
        <v>72</v>
      </c>
      <c r="B6" s="13" t="n">
        <f aca="false">Inputs!B34</f>
        <v>4</v>
      </c>
      <c r="C6" s="13" t="n">
        <f aca="false">Inputs!B35</f>
        <v>7</v>
      </c>
      <c r="D6" s="13" t="n">
        <f aca="false">Inputs!B36</f>
        <v>10</v>
      </c>
      <c r="E6" s="13" t="n">
        <f aca="false">Inputs!B37</f>
        <v>17</v>
      </c>
      <c r="F6" s="13" t="n">
        <f aca="false">Inputs!B38</f>
        <v>23</v>
      </c>
      <c r="G6" s="13" t="n">
        <f aca="false">Inputs!B39</f>
        <v>30</v>
      </c>
      <c r="H6" s="13" t="n">
        <f aca="false">Inputs!B40</f>
        <v>43</v>
      </c>
      <c r="I6" s="13" t="n">
        <f aca="false">Inputs!B41</f>
        <v>53</v>
      </c>
      <c r="J6" s="13" t="n">
        <f aca="false">Inputs!B42</f>
        <v>63</v>
      </c>
      <c r="K6" s="13" t="n">
        <f aca="false">Inputs!B43</f>
        <v>70</v>
      </c>
      <c r="L6" s="13" t="n">
        <f aca="false">Inputs!B44</f>
        <v>77</v>
      </c>
      <c r="M6" s="13" t="n">
        <f aca="false">Inputs!B45</f>
        <v>80</v>
      </c>
      <c r="N6" s="14" t="n">
        <f aca="false">SUM(B6:M6)</f>
        <v>477</v>
      </c>
    </row>
    <row r="7" customFormat="false" ht="15" hidden="false" customHeight="false" outlineLevel="0" collapsed="false">
      <c r="A7" s="12" t="s">
        <v>73</v>
      </c>
      <c r="B7" s="15" t="n">
        <f aca="false">ROUND(B6*Inputs!$B$8,0)</f>
        <v>1</v>
      </c>
      <c r="C7" s="15" t="n">
        <f aca="false">ROUND(C6*Inputs!$B$8,0)</f>
        <v>2</v>
      </c>
      <c r="D7" s="15" t="n">
        <f aca="false">ROUND(D6*Inputs!$B$8,0)</f>
        <v>3</v>
      </c>
      <c r="E7" s="15" t="n">
        <f aca="false">ROUND(E6*Inputs!$B$8,0)</f>
        <v>5</v>
      </c>
      <c r="F7" s="15" t="n">
        <f aca="false">ROUND(F6*Inputs!$B$8,0)</f>
        <v>7</v>
      </c>
      <c r="G7" s="15" t="n">
        <f aca="false">ROUND(G6*Inputs!$B$8,0)</f>
        <v>9</v>
      </c>
      <c r="H7" s="15" t="n">
        <f aca="false">ROUND(H6*Inputs!$B$8,0)</f>
        <v>13</v>
      </c>
      <c r="I7" s="15" t="n">
        <f aca="false">ROUND(I6*Inputs!$B$8,0)</f>
        <v>16</v>
      </c>
      <c r="J7" s="15" t="n">
        <f aca="false">ROUND(J6*Inputs!$B$8,0)</f>
        <v>19</v>
      </c>
      <c r="K7" s="15" t="n">
        <f aca="false">ROUND(K6*Inputs!$B$8,0)</f>
        <v>21</v>
      </c>
      <c r="L7" s="15" t="n">
        <f aca="false">ROUND(L6*Inputs!$B$8,0)</f>
        <v>23</v>
      </c>
      <c r="M7" s="15" t="n">
        <f aca="false">ROUND(M6*Inputs!$B$8,0)</f>
        <v>24</v>
      </c>
      <c r="N7" s="14" t="n">
        <f aca="false">SUM(B7:M7)</f>
        <v>143</v>
      </c>
    </row>
    <row r="8" customFormat="false" ht="15" hidden="false" customHeight="false" outlineLevel="0" collapsed="false">
      <c r="A8" s="16" t="s">
        <v>74</v>
      </c>
      <c r="B8" s="17" t="n">
        <f aca="false">B7*Inputs!$B$6</f>
        <v>425</v>
      </c>
      <c r="C8" s="17" t="n">
        <f aca="false">C7*Inputs!$B$6</f>
        <v>850</v>
      </c>
      <c r="D8" s="17" t="n">
        <f aca="false">D7*Inputs!$B$6</f>
        <v>1275</v>
      </c>
      <c r="E8" s="17" t="n">
        <f aca="false">E7*Inputs!$B$6</f>
        <v>2125</v>
      </c>
      <c r="F8" s="17" t="n">
        <f aca="false">F7*Inputs!$B$6</f>
        <v>2975</v>
      </c>
      <c r="G8" s="17" t="n">
        <f aca="false">G7*Inputs!$B$6</f>
        <v>3825</v>
      </c>
      <c r="H8" s="17" t="n">
        <f aca="false">H7*Inputs!$B$6</f>
        <v>5525</v>
      </c>
      <c r="I8" s="17" t="n">
        <f aca="false">I7*Inputs!$B$6</f>
        <v>6800</v>
      </c>
      <c r="J8" s="17" t="n">
        <f aca="false">J7*Inputs!$B$6</f>
        <v>8075</v>
      </c>
      <c r="K8" s="17" t="n">
        <f aca="false">K7*Inputs!$B$6</f>
        <v>8925</v>
      </c>
      <c r="L8" s="17" t="n">
        <f aca="false">L7*Inputs!$B$6</f>
        <v>9775</v>
      </c>
      <c r="M8" s="17" t="n">
        <f aca="false">M7*Inputs!$B$6</f>
        <v>10200</v>
      </c>
      <c r="N8" s="17" t="n">
        <f aca="false">SUM(B8:M8)</f>
        <v>60775</v>
      </c>
    </row>
    <row r="10" customFormat="false" ht="15" hidden="false" customHeight="false" outlineLevel="0" collapsed="false">
      <c r="A10" s="11" t="s">
        <v>75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5" hidden="false" customHeight="false" outlineLevel="0" collapsed="false">
      <c r="A11" s="12" t="s">
        <v>76</v>
      </c>
      <c r="B11" s="18" t="n">
        <f aca="false">Inputs!$B$16</f>
        <v>65</v>
      </c>
      <c r="C11" s="18" t="n">
        <f aca="false">Inputs!$B$16</f>
        <v>65</v>
      </c>
      <c r="D11" s="18" t="n">
        <f aca="false">Inputs!$B$16</f>
        <v>65</v>
      </c>
      <c r="E11" s="18" t="n">
        <f aca="false">Inputs!$B$17</f>
        <v>130</v>
      </c>
      <c r="F11" s="18" t="n">
        <f aca="false">Inputs!$B$17</f>
        <v>130</v>
      </c>
      <c r="G11" s="18" t="n">
        <f aca="false">Inputs!$B$17</f>
        <v>130</v>
      </c>
      <c r="H11" s="18" t="n">
        <f aca="false">Inputs!$B$18</f>
        <v>340</v>
      </c>
      <c r="I11" s="18" t="n">
        <f aca="false">Inputs!$B$18</f>
        <v>340</v>
      </c>
      <c r="J11" s="18" t="n">
        <f aca="false">Inputs!$B$18</f>
        <v>340</v>
      </c>
      <c r="K11" s="18" t="n">
        <f aca="false">Inputs!$B$18</f>
        <v>340</v>
      </c>
      <c r="L11" s="18" t="n">
        <f aca="false">Inputs!$B$18</f>
        <v>340</v>
      </c>
      <c r="M11" s="18" t="n">
        <f aca="false">Inputs!$B$18</f>
        <v>340</v>
      </c>
      <c r="N11" s="19" t="n">
        <f aca="false">SUM(B11:M11)</f>
        <v>2625</v>
      </c>
    </row>
    <row r="12" customFormat="false" ht="15" hidden="false" customHeight="false" outlineLevel="0" collapsed="false">
      <c r="A12" s="12" t="s">
        <v>23</v>
      </c>
      <c r="B12" s="20" t="n">
        <f aca="false">Inputs!$B$19</f>
        <v>425</v>
      </c>
      <c r="C12" s="20" t="n">
        <f aca="false">Inputs!$B$19</f>
        <v>425</v>
      </c>
      <c r="D12" s="20" t="n">
        <f aca="false">Inputs!$B$19</f>
        <v>425</v>
      </c>
      <c r="E12" s="20" t="n">
        <f aca="false">Inputs!$B$19</f>
        <v>425</v>
      </c>
      <c r="F12" s="20" t="n">
        <f aca="false">Inputs!$B$19</f>
        <v>425</v>
      </c>
      <c r="G12" s="20" t="n">
        <f aca="false">Inputs!$B$19</f>
        <v>425</v>
      </c>
      <c r="H12" s="20" t="n">
        <f aca="false">Inputs!$B$19</f>
        <v>425</v>
      </c>
      <c r="I12" s="20" t="n">
        <f aca="false">Inputs!$B$19</f>
        <v>425</v>
      </c>
      <c r="J12" s="20" t="n">
        <f aca="false">Inputs!$B$19</f>
        <v>425</v>
      </c>
      <c r="K12" s="20" t="n">
        <f aca="false">Inputs!$B$19</f>
        <v>425</v>
      </c>
      <c r="L12" s="20" t="n">
        <f aca="false">Inputs!$B$19</f>
        <v>425</v>
      </c>
      <c r="M12" s="20" t="n">
        <f aca="false">Inputs!$B$19</f>
        <v>425</v>
      </c>
      <c r="N12" s="19" t="n">
        <f aca="false">SUM(B12:M12)</f>
        <v>5100</v>
      </c>
    </row>
    <row r="13" customFormat="false" ht="15" hidden="false" customHeight="false" outlineLevel="0" collapsed="false">
      <c r="A13" s="12" t="s">
        <v>25</v>
      </c>
      <c r="B13" s="20" t="n">
        <f aca="false">Inputs!$B$20</f>
        <v>45</v>
      </c>
      <c r="C13" s="20" t="n">
        <f aca="false">Inputs!$B$20</f>
        <v>45</v>
      </c>
      <c r="D13" s="20" t="n">
        <f aca="false">Inputs!$B$20</f>
        <v>45</v>
      </c>
      <c r="E13" s="20" t="n">
        <f aca="false">Inputs!$B$20</f>
        <v>45</v>
      </c>
      <c r="F13" s="20" t="n">
        <f aca="false">Inputs!$B$20</f>
        <v>45</v>
      </c>
      <c r="G13" s="20" t="n">
        <f aca="false">Inputs!$B$20</f>
        <v>45</v>
      </c>
      <c r="H13" s="20" t="n">
        <f aca="false">Inputs!$B$20</f>
        <v>45</v>
      </c>
      <c r="I13" s="20" t="n">
        <f aca="false">Inputs!$B$20</f>
        <v>45</v>
      </c>
      <c r="J13" s="20" t="n">
        <f aca="false">Inputs!$B$20</f>
        <v>45</v>
      </c>
      <c r="K13" s="20" t="n">
        <f aca="false">Inputs!$B$20</f>
        <v>45</v>
      </c>
      <c r="L13" s="20" t="n">
        <f aca="false">Inputs!$B$20</f>
        <v>45</v>
      </c>
      <c r="M13" s="20" t="n">
        <f aca="false">Inputs!$B$20</f>
        <v>45</v>
      </c>
      <c r="N13" s="19" t="n">
        <f aca="false">SUM(B13:M13)</f>
        <v>540</v>
      </c>
    </row>
    <row r="14" customFormat="false" ht="15" hidden="false" customHeight="false" outlineLevel="0" collapsed="false">
      <c r="A14" s="12" t="s">
        <v>27</v>
      </c>
      <c r="B14" s="20" t="n">
        <f aca="false">Inputs!$B$21</f>
        <v>210</v>
      </c>
      <c r="C14" s="20" t="n">
        <f aca="false">Inputs!$B$21</f>
        <v>210</v>
      </c>
      <c r="D14" s="20" t="n">
        <f aca="false">Inputs!$B$21</f>
        <v>210</v>
      </c>
      <c r="E14" s="20" t="n">
        <f aca="false">Inputs!$B$21</f>
        <v>210</v>
      </c>
      <c r="F14" s="20" t="n">
        <f aca="false">Inputs!$B$21</f>
        <v>210</v>
      </c>
      <c r="G14" s="20" t="n">
        <f aca="false">Inputs!$B$21</f>
        <v>210</v>
      </c>
      <c r="H14" s="20" t="n">
        <f aca="false">Inputs!$B$21</f>
        <v>210</v>
      </c>
      <c r="I14" s="20" t="n">
        <f aca="false">Inputs!$B$21</f>
        <v>210</v>
      </c>
      <c r="J14" s="20" t="n">
        <f aca="false">Inputs!$B$21</f>
        <v>210</v>
      </c>
      <c r="K14" s="20" t="n">
        <f aca="false">Inputs!$B$21</f>
        <v>210</v>
      </c>
      <c r="L14" s="20" t="n">
        <f aca="false">Inputs!$B$21</f>
        <v>210</v>
      </c>
      <c r="M14" s="20" t="n">
        <f aca="false">Inputs!$B$21</f>
        <v>210</v>
      </c>
      <c r="N14" s="19" t="n">
        <f aca="false">SUM(B14:M14)</f>
        <v>2520</v>
      </c>
    </row>
    <row r="15" customFormat="false" ht="15" hidden="false" customHeight="false" outlineLevel="0" collapsed="false">
      <c r="A15" s="12" t="s">
        <v>77</v>
      </c>
      <c r="B15" s="18" t="n">
        <f aca="false">Inputs!$B$24</f>
        <v>3190</v>
      </c>
      <c r="C15" s="18" t="n">
        <f aca="false">Inputs!$B$24</f>
        <v>3190</v>
      </c>
      <c r="D15" s="18" t="n">
        <f aca="false">Inputs!$B$24</f>
        <v>3190</v>
      </c>
      <c r="E15" s="18" t="n">
        <f aca="false">Inputs!$B$25</f>
        <v>6375</v>
      </c>
      <c r="F15" s="18" t="n">
        <f aca="false">Inputs!$B$25</f>
        <v>6375</v>
      </c>
      <c r="G15" s="18" t="n">
        <f aca="false">Inputs!$B$25</f>
        <v>6375</v>
      </c>
      <c r="H15" s="18" t="n">
        <f aca="false">Inputs!$B$26</f>
        <v>10625</v>
      </c>
      <c r="I15" s="18" t="n">
        <f aca="false">Inputs!$B$26</f>
        <v>10625</v>
      </c>
      <c r="J15" s="18" t="n">
        <f aca="false">Inputs!$B$26</f>
        <v>10625</v>
      </c>
      <c r="K15" s="18" t="n">
        <f aca="false">Inputs!$B$26</f>
        <v>10625</v>
      </c>
      <c r="L15" s="18" t="n">
        <f aca="false">Inputs!$B$26</f>
        <v>10625</v>
      </c>
      <c r="M15" s="18" t="n">
        <f aca="false">Inputs!$B$26</f>
        <v>10625</v>
      </c>
      <c r="N15" s="19" t="n">
        <f aca="false">SUM(B15:M15)</f>
        <v>92445</v>
      </c>
    </row>
    <row r="16" customFormat="false" ht="15" hidden="false" customHeight="false" outlineLevel="0" collapsed="false">
      <c r="A16" s="12" t="s">
        <v>78</v>
      </c>
      <c r="B16" s="18" t="n">
        <f aca="false">Inputs!$B$11</f>
        <v>432</v>
      </c>
      <c r="C16" s="18" t="n">
        <f aca="false">Inputs!$B$11</f>
        <v>432</v>
      </c>
      <c r="D16" s="18" t="n">
        <f aca="false">Inputs!$B$11</f>
        <v>432</v>
      </c>
      <c r="E16" s="18" t="n">
        <f aca="false">Inputs!$B$11</f>
        <v>432</v>
      </c>
      <c r="F16" s="18" t="n">
        <f aca="false">Inputs!$B$11</f>
        <v>432</v>
      </c>
      <c r="G16" s="18" t="n">
        <f aca="false">Inputs!$B$11</f>
        <v>432</v>
      </c>
      <c r="H16" s="18" t="n">
        <f aca="false">Inputs!$B$12</f>
        <v>888</v>
      </c>
      <c r="I16" s="18" t="n">
        <f aca="false">Inputs!$B$12</f>
        <v>888</v>
      </c>
      <c r="J16" s="18" t="n">
        <f aca="false">Inputs!$B$12</f>
        <v>888</v>
      </c>
      <c r="K16" s="18" t="n">
        <f aca="false">Inputs!$B$12</f>
        <v>888</v>
      </c>
      <c r="L16" s="18" t="n">
        <f aca="false">Inputs!$B$12</f>
        <v>888</v>
      </c>
      <c r="M16" s="18" t="n">
        <f aca="false">Inputs!$B$12</f>
        <v>888</v>
      </c>
      <c r="N16" s="19" t="n">
        <f aca="false">SUM(B16:M16)</f>
        <v>7920</v>
      </c>
    </row>
    <row r="17" customFormat="false" ht="15" hidden="false" customHeight="false" outlineLevel="0" collapsed="false">
      <c r="A17" s="16" t="s">
        <v>79</v>
      </c>
      <c r="B17" s="17" t="n">
        <f aca="false">SUM(B11:B16)</f>
        <v>4367</v>
      </c>
      <c r="C17" s="17" t="n">
        <f aca="false">SUM(C11:C16)</f>
        <v>4367</v>
      </c>
      <c r="D17" s="17" t="n">
        <f aca="false">SUM(D11:D16)</f>
        <v>4367</v>
      </c>
      <c r="E17" s="17" t="n">
        <f aca="false">SUM(E11:E16)</f>
        <v>7617</v>
      </c>
      <c r="F17" s="17" t="n">
        <f aca="false">SUM(F11:F16)</f>
        <v>7617</v>
      </c>
      <c r="G17" s="17" t="n">
        <f aca="false">SUM(G11:G16)</f>
        <v>7617</v>
      </c>
      <c r="H17" s="17" t="n">
        <f aca="false">SUM(H11:H16)</f>
        <v>12533</v>
      </c>
      <c r="I17" s="17" t="n">
        <f aca="false">SUM(I11:I16)</f>
        <v>12533</v>
      </c>
      <c r="J17" s="17" t="n">
        <f aca="false">SUM(J11:J16)</f>
        <v>12533</v>
      </c>
      <c r="K17" s="17" t="n">
        <f aca="false">SUM(K11:K16)</f>
        <v>12533</v>
      </c>
      <c r="L17" s="17" t="n">
        <f aca="false">SUM(L11:L16)</f>
        <v>12533</v>
      </c>
      <c r="M17" s="17" t="n">
        <f aca="false">SUM(M11:M16)</f>
        <v>12533</v>
      </c>
      <c r="N17" s="17" t="n">
        <f aca="false">SUM(B17:M17)</f>
        <v>111150</v>
      </c>
    </row>
    <row r="19" customFormat="false" ht="15" hidden="false" customHeight="false" outlineLevel="0" collapsed="false">
      <c r="A19" s="11" t="s">
        <v>80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5" hidden="false" customHeight="false" outlineLevel="0" collapsed="false">
      <c r="A20" s="21" t="s">
        <v>81</v>
      </c>
      <c r="B20" s="19" t="n">
        <f aca="false">B8-B17</f>
        <v>-3942</v>
      </c>
      <c r="C20" s="19" t="n">
        <f aca="false">C8-C17</f>
        <v>-3517</v>
      </c>
      <c r="D20" s="19" t="n">
        <f aca="false">D8-D17</f>
        <v>-3092</v>
      </c>
      <c r="E20" s="19" t="n">
        <f aca="false">E8-E17</f>
        <v>-5492</v>
      </c>
      <c r="F20" s="19" t="n">
        <f aca="false">F8-F17</f>
        <v>-4642</v>
      </c>
      <c r="G20" s="19" t="n">
        <f aca="false">G8-G17</f>
        <v>-3792</v>
      </c>
      <c r="H20" s="19" t="n">
        <f aca="false">H8-H17</f>
        <v>-7008</v>
      </c>
      <c r="I20" s="19" t="n">
        <f aca="false">I8-I17</f>
        <v>-5733</v>
      </c>
      <c r="J20" s="19" t="n">
        <f aca="false">J8-J17</f>
        <v>-4458</v>
      </c>
      <c r="K20" s="19" t="n">
        <f aca="false">K8-K17</f>
        <v>-3608</v>
      </c>
      <c r="L20" s="19" t="n">
        <f aca="false">L8-L17</f>
        <v>-2758</v>
      </c>
      <c r="M20" s="19" t="n">
        <f aca="false">M8-M17</f>
        <v>-2333</v>
      </c>
      <c r="N20" s="19" t="n">
        <f aca="false">SUM(B20:M20)</f>
        <v>-50375</v>
      </c>
    </row>
    <row r="21" customFormat="false" ht="15" hidden="false" customHeight="false" outlineLevel="0" collapsed="false">
      <c r="A21" s="16" t="s">
        <v>82</v>
      </c>
      <c r="B21" s="17" t="n">
        <f aca="false">B20</f>
        <v>-3942</v>
      </c>
      <c r="C21" s="17" t="n">
        <f aca="false">B21+C20</f>
        <v>-7459</v>
      </c>
      <c r="D21" s="17" t="n">
        <f aca="false">C21+D20</f>
        <v>-10551</v>
      </c>
      <c r="E21" s="17" t="n">
        <f aca="false">D21+E20</f>
        <v>-16043</v>
      </c>
      <c r="F21" s="17" t="n">
        <f aca="false">E21+F20</f>
        <v>-20685</v>
      </c>
      <c r="G21" s="17" t="n">
        <f aca="false">F21+G20</f>
        <v>-24477</v>
      </c>
      <c r="H21" s="17" t="n">
        <f aca="false">G21+H20</f>
        <v>-31485</v>
      </c>
      <c r="I21" s="17" t="n">
        <f aca="false">H21+I20</f>
        <v>-37218</v>
      </c>
      <c r="J21" s="17" t="n">
        <f aca="false">I21+J20</f>
        <v>-41676</v>
      </c>
      <c r="K21" s="17" t="n">
        <f aca="false">J21+K20</f>
        <v>-45284</v>
      </c>
      <c r="L21" s="17" t="n">
        <f aca="false">K21+L20</f>
        <v>-48042</v>
      </c>
      <c r="M21" s="17" t="n">
        <f aca="false">L21+M20</f>
        <v>-50375</v>
      </c>
      <c r="N21" s="17" t="n">
        <f aca="false">M21</f>
        <v>-50375</v>
      </c>
    </row>
    <row r="23" customFormat="false" ht="15" hidden="false" customHeight="false" outlineLevel="0" collapsed="false">
      <c r="A23" s="11" t="s">
        <v>83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5" hidden="false" customHeight="false" outlineLevel="0" collapsed="false">
      <c r="A24" s="12" t="s">
        <v>84</v>
      </c>
      <c r="B24" s="15" t="n">
        <f aca="false">ROUNDUP(B17/Inputs!$B$6,0)</f>
        <v>11</v>
      </c>
      <c r="C24" s="15" t="n">
        <f aca="false">ROUNDUP(C17/Inputs!$B$6,0)</f>
        <v>11</v>
      </c>
      <c r="D24" s="15" t="n">
        <f aca="false">ROUNDUP(D17/Inputs!$B$6,0)</f>
        <v>11</v>
      </c>
      <c r="E24" s="15" t="n">
        <f aca="false">ROUNDUP(E17/Inputs!$B$6,0)</f>
        <v>18</v>
      </c>
      <c r="F24" s="15" t="n">
        <f aca="false">ROUNDUP(F17/Inputs!$B$6,0)</f>
        <v>18</v>
      </c>
      <c r="G24" s="15" t="n">
        <f aca="false">ROUNDUP(G17/Inputs!$B$6,0)</f>
        <v>18</v>
      </c>
      <c r="H24" s="15" t="n">
        <f aca="false">ROUNDUP(H17/Inputs!$B$6,0)</f>
        <v>30</v>
      </c>
      <c r="I24" s="15" t="n">
        <f aca="false">ROUNDUP(I17/Inputs!$B$6,0)</f>
        <v>30</v>
      </c>
      <c r="J24" s="15" t="n">
        <f aca="false">ROUNDUP(J17/Inputs!$B$6,0)</f>
        <v>30</v>
      </c>
      <c r="K24" s="15" t="n">
        <f aca="false">ROUNDUP(K17/Inputs!$B$6,0)</f>
        <v>30</v>
      </c>
      <c r="L24" s="15" t="n">
        <f aca="false">ROUNDUP(L17/Inputs!$B$6,0)</f>
        <v>30</v>
      </c>
      <c r="M24" s="15" t="n">
        <f aca="false">ROUNDUP(M17/Inputs!$B$6,0)</f>
        <v>30</v>
      </c>
      <c r="N24" s="14" t="n">
        <f aca="false">SUM(B24:M24)</f>
        <v>267</v>
      </c>
    </row>
    <row r="25" customFormat="false" ht="15" hidden="false" customHeight="false" outlineLevel="0" collapsed="false">
      <c r="A25" s="12" t="s">
        <v>85</v>
      </c>
      <c r="B25" s="15" t="n">
        <f aca="false">ROUNDUP(B24/Inputs!$B$8,0)</f>
        <v>37</v>
      </c>
      <c r="C25" s="15" t="n">
        <f aca="false">ROUNDUP(C24/Inputs!$B$8,0)</f>
        <v>37</v>
      </c>
      <c r="D25" s="15" t="n">
        <f aca="false">ROUNDUP(D24/Inputs!$B$8,0)</f>
        <v>37</v>
      </c>
      <c r="E25" s="15" t="n">
        <f aca="false">ROUNDUP(E24/Inputs!$B$8,0)</f>
        <v>60</v>
      </c>
      <c r="F25" s="15" t="n">
        <f aca="false">ROUNDUP(F24/Inputs!$B$8,0)</f>
        <v>60</v>
      </c>
      <c r="G25" s="15" t="n">
        <f aca="false">ROUNDUP(G24/Inputs!$B$8,0)</f>
        <v>60</v>
      </c>
      <c r="H25" s="15" t="n">
        <f aca="false">ROUNDUP(H24/Inputs!$B$8,0)</f>
        <v>100</v>
      </c>
      <c r="I25" s="15" t="n">
        <f aca="false">ROUNDUP(I24/Inputs!$B$8,0)</f>
        <v>100</v>
      </c>
      <c r="J25" s="15" t="n">
        <f aca="false">ROUNDUP(J24/Inputs!$B$8,0)</f>
        <v>100</v>
      </c>
      <c r="K25" s="15" t="n">
        <f aca="false">ROUNDUP(K24/Inputs!$B$8,0)</f>
        <v>100</v>
      </c>
      <c r="L25" s="15" t="n">
        <f aca="false">ROUNDUP(L24/Inputs!$B$8,0)</f>
        <v>100</v>
      </c>
      <c r="M25" s="15" t="n">
        <f aca="false">ROUNDUP(M24/Inputs!$B$8,0)</f>
        <v>100</v>
      </c>
      <c r="N25" s="14" t="n">
        <f aca="false">SUM(B25:M25)</f>
        <v>891</v>
      </c>
    </row>
  </sheetData>
  <mergeCells count="6">
    <mergeCell ref="A1:N1"/>
    <mergeCell ref="A2:N2"/>
    <mergeCell ref="A5:N5"/>
    <mergeCell ref="A10:N10"/>
    <mergeCell ref="A19:N19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22"/>
  </cols>
  <sheetData>
    <row r="1" customFormat="false" ht="19.7" hidden="false" customHeight="false" outlineLevel="0" collapsed="false">
      <c r="A1" s="1" t="s">
        <v>86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87</v>
      </c>
      <c r="B2" s="2"/>
      <c r="C2" s="2"/>
      <c r="D2" s="2"/>
      <c r="E2" s="2"/>
    </row>
    <row r="4" customFormat="false" ht="15" hidden="false" customHeight="false" outlineLevel="0" collapsed="false">
      <c r="A4" s="22" t="s">
        <v>88</v>
      </c>
      <c r="B4" s="23" t="n">
        <f aca="false">'P&amp;L'!N21*-1</f>
        <v>50375</v>
      </c>
    </row>
    <row r="5" customFormat="false" ht="15" hidden="false" customHeight="false" outlineLevel="0" collapsed="false">
      <c r="A5" s="2" t="s">
        <v>89</v>
      </c>
      <c r="B5" s="2"/>
      <c r="C5" s="2"/>
      <c r="D5" s="2"/>
      <c r="E5" s="2"/>
    </row>
    <row r="7" customFormat="false" ht="30" hidden="false" customHeight="true" outlineLevel="0" collapsed="false">
      <c r="A7" s="9" t="s">
        <v>90</v>
      </c>
      <c r="B7" s="10" t="s">
        <v>91</v>
      </c>
      <c r="C7" s="10" t="s">
        <v>92</v>
      </c>
      <c r="D7" s="10" t="s">
        <v>93</v>
      </c>
      <c r="E7" s="10" t="s">
        <v>94</v>
      </c>
    </row>
    <row r="8" customFormat="false" ht="15" hidden="false" customHeight="false" outlineLevel="0" collapsed="false">
      <c r="A8" s="12" t="s">
        <v>36</v>
      </c>
      <c r="B8" s="24" t="n">
        <f aca="false">Inputs!B29</f>
        <v>0.7</v>
      </c>
      <c r="C8" s="20" t="n">
        <f aca="false">$B$4*B8</f>
        <v>35262.5</v>
      </c>
      <c r="D8" s="5" t="n">
        <v>0</v>
      </c>
      <c r="E8" s="19" t="n">
        <f aca="false">C8-D8</f>
        <v>35262.5</v>
      </c>
    </row>
    <row r="9" customFormat="false" ht="15" hidden="false" customHeight="false" outlineLevel="0" collapsed="false">
      <c r="A9" s="12" t="s">
        <v>37</v>
      </c>
      <c r="B9" s="24" t="n">
        <f aca="false">Inputs!B30</f>
        <v>0.2</v>
      </c>
      <c r="C9" s="20" t="n">
        <f aca="false">$B$4*B9</f>
        <v>10075</v>
      </c>
      <c r="D9" s="5" t="n">
        <v>0</v>
      </c>
      <c r="E9" s="19" t="n">
        <f aca="false">C9-D9</f>
        <v>10075</v>
      </c>
    </row>
    <row r="10" customFormat="false" ht="15" hidden="false" customHeight="false" outlineLevel="0" collapsed="false">
      <c r="A10" s="12" t="s">
        <v>38</v>
      </c>
      <c r="B10" s="24" t="n">
        <f aca="false">Inputs!B31</f>
        <v>0.1</v>
      </c>
      <c r="C10" s="20" t="n">
        <f aca="false">$B$4*B10</f>
        <v>5037.5</v>
      </c>
      <c r="D10" s="5" t="n">
        <v>0</v>
      </c>
      <c r="E10" s="19" t="n">
        <f aca="false">C10-D10</f>
        <v>5037.5</v>
      </c>
    </row>
    <row r="11" customFormat="false" ht="15" hidden="false" customHeight="false" outlineLevel="0" collapsed="false">
      <c r="A11" s="16" t="s">
        <v>95</v>
      </c>
      <c r="B11" s="25" t="n">
        <f aca="false">SUM(B8:B10)</f>
        <v>1</v>
      </c>
      <c r="C11" s="17" t="n">
        <f aca="false">SUM(C8:C10)</f>
        <v>50375</v>
      </c>
      <c r="D11" s="17" t="n">
        <f aca="false">SUM(D8:D10)</f>
        <v>0</v>
      </c>
      <c r="E11" s="17" t="n">
        <f aca="false">SUM(E8:E10)</f>
        <v>50375</v>
      </c>
    </row>
    <row r="14" customFormat="false" ht="16.15" hidden="false" customHeight="false" outlineLevel="0" collapsed="false">
      <c r="A14" s="26" t="s">
        <v>96</v>
      </c>
      <c r="B14" s="26"/>
      <c r="C14" s="26"/>
      <c r="D14" s="26"/>
      <c r="E14" s="26"/>
    </row>
    <row r="15" customFormat="false" ht="15" hidden="false" customHeight="false" outlineLevel="0" collapsed="false">
      <c r="A15" s="10" t="s">
        <v>97</v>
      </c>
      <c r="B15" s="10" t="s">
        <v>90</v>
      </c>
      <c r="C15" s="10" t="s">
        <v>98</v>
      </c>
      <c r="D15" s="10" t="s">
        <v>99</v>
      </c>
      <c r="E15" s="10"/>
    </row>
    <row r="16" customFormat="false" ht="15" hidden="false" customHeight="false" outlineLevel="0" collapsed="false">
      <c r="A16" s="27"/>
      <c r="B16" s="27"/>
      <c r="C16" s="28"/>
      <c r="D16" s="27"/>
    </row>
    <row r="17" customFormat="false" ht="15" hidden="false" customHeight="false" outlineLevel="0" collapsed="false">
      <c r="A17" s="27"/>
      <c r="B17" s="27"/>
      <c r="C17" s="28"/>
      <c r="D17" s="27"/>
    </row>
    <row r="18" customFormat="false" ht="15" hidden="false" customHeight="false" outlineLevel="0" collapsed="false">
      <c r="A18" s="27"/>
      <c r="B18" s="27"/>
      <c r="C18" s="28"/>
      <c r="D18" s="27"/>
    </row>
    <row r="19" customFormat="false" ht="15" hidden="false" customHeight="false" outlineLevel="0" collapsed="false">
      <c r="A19" s="27"/>
      <c r="B19" s="27"/>
      <c r="C19" s="28"/>
      <c r="D19" s="27"/>
    </row>
    <row r="20" customFormat="false" ht="15" hidden="false" customHeight="false" outlineLevel="0" collapsed="false">
      <c r="A20" s="27"/>
      <c r="B20" s="27"/>
      <c r="C20" s="28"/>
      <c r="D20" s="27"/>
    </row>
    <row r="21" customFormat="false" ht="15" hidden="false" customHeight="false" outlineLevel="0" collapsed="false">
      <c r="A21" s="27"/>
      <c r="B21" s="27"/>
      <c r="C21" s="28"/>
      <c r="D21" s="27"/>
    </row>
    <row r="22" customFormat="false" ht="15" hidden="false" customHeight="false" outlineLevel="0" collapsed="false">
      <c r="A22" s="27"/>
      <c r="B22" s="27"/>
      <c r="C22" s="28"/>
      <c r="D22" s="27"/>
    </row>
    <row r="23" customFormat="false" ht="15" hidden="false" customHeight="false" outlineLevel="0" collapsed="false">
      <c r="A23" s="27"/>
      <c r="B23" s="27"/>
      <c r="C23" s="28"/>
      <c r="D23" s="27"/>
    </row>
    <row r="24" customFormat="false" ht="15" hidden="false" customHeight="false" outlineLevel="0" collapsed="false">
      <c r="A24" s="27"/>
      <c r="B24" s="27"/>
      <c r="C24" s="28"/>
      <c r="D24" s="27"/>
    </row>
    <row r="25" customFormat="false" ht="15" hidden="false" customHeight="false" outlineLevel="0" collapsed="false">
      <c r="A25" s="27"/>
      <c r="B25" s="27"/>
      <c r="C25" s="28"/>
      <c r="D25" s="27"/>
    </row>
    <row r="26" customFormat="false" ht="15" hidden="false" customHeight="false" outlineLevel="0" collapsed="false">
      <c r="A26" s="27"/>
      <c r="B26" s="27"/>
      <c r="C26" s="28"/>
      <c r="D26" s="27"/>
    </row>
    <row r="27" customFormat="false" ht="15" hidden="false" customHeight="false" outlineLevel="0" collapsed="false">
      <c r="A27" s="27"/>
      <c r="B27" s="27"/>
      <c r="C27" s="28"/>
      <c r="D27" s="27"/>
    </row>
    <row r="28" customFormat="false" ht="15" hidden="false" customHeight="false" outlineLevel="0" collapsed="false">
      <c r="A28" s="27"/>
      <c r="B28" s="27"/>
      <c r="C28" s="28"/>
      <c r="D28" s="27"/>
    </row>
    <row r="29" customFormat="false" ht="15" hidden="false" customHeight="false" outlineLevel="0" collapsed="false">
      <c r="A29" s="27"/>
      <c r="B29" s="27"/>
      <c r="C29" s="28"/>
      <c r="D29" s="27"/>
    </row>
    <row r="30" customFormat="false" ht="15" hidden="false" customHeight="false" outlineLevel="0" collapsed="false">
      <c r="A30" s="27"/>
      <c r="B30" s="27"/>
      <c r="C30" s="28"/>
      <c r="D30" s="27"/>
    </row>
    <row r="31" customFormat="false" ht="15" hidden="false" customHeight="false" outlineLevel="0" collapsed="false">
      <c r="A31" s="27"/>
      <c r="B31" s="27"/>
      <c r="C31" s="28"/>
      <c r="D31" s="27"/>
    </row>
    <row r="32" customFormat="false" ht="15" hidden="false" customHeight="false" outlineLevel="0" collapsed="false">
      <c r="A32" s="27"/>
      <c r="B32" s="27"/>
      <c r="C32" s="28"/>
      <c r="D32" s="27"/>
    </row>
    <row r="33" customFormat="false" ht="15" hidden="false" customHeight="false" outlineLevel="0" collapsed="false">
      <c r="A33" s="27"/>
      <c r="B33" s="27"/>
      <c r="C33" s="28"/>
      <c r="D33" s="27"/>
    </row>
    <row r="34" customFormat="false" ht="15" hidden="false" customHeight="false" outlineLevel="0" collapsed="false">
      <c r="A34" s="27"/>
      <c r="B34" s="27"/>
      <c r="C34" s="28"/>
      <c r="D34" s="27"/>
    </row>
    <row r="35" customFormat="false" ht="15" hidden="false" customHeight="false" outlineLevel="0" collapsed="false">
      <c r="A35" s="27"/>
      <c r="B35" s="27"/>
      <c r="C35" s="28"/>
      <c r="D35" s="27"/>
    </row>
  </sheetData>
  <mergeCells count="4">
    <mergeCell ref="A1:E1"/>
    <mergeCell ref="A2:E2"/>
    <mergeCell ref="A5:E5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2026-04-21T12:17:24Z</dcterms:created>
  <dc:creator>openpyxl</dc:creator>
  <dc:description/>
  <dc:language>en-US</dc:language>
  <cp:lastModifiedBy/>
  <dcterms:modified xsi:type="dcterms:W3CDTF">2026-04-21T12:17:24Z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